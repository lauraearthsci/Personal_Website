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lau_a/Library/Mobile Documents/com~apple~CloudDocs/Documents/ART/Tarifa_Website /"/>
    </mc:Choice>
  </mc:AlternateContent>
  <xr:revisionPtr revIDLastSave="0" documentId="13_ncr:1_{EA91120F-0DD3-4543-99B8-D34203C5E685}" xr6:coauthVersionLast="47" xr6:coauthVersionMax="47" xr10:uidLastSave="{00000000-0000-0000-0000-000000000000}"/>
  <bookViews>
    <workbookView xWindow="1060" yWindow="760" windowWidth="27060" windowHeight="17420" tabRatio="500" activeTab="2" xr2:uid="{00000000-000D-0000-FFFF-FFFF00000000}"/>
  </bookViews>
  <sheets>
    <sheet name="Guests" sheetId="1" r:id="rId1"/>
    <sheet name="Expenses" sheetId="2" r:id="rId2"/>
    <sheet name="Summary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33" i="2" l="1"/>
  <c r="R33" i="2" s="1"/>
  <c r="Q32" i="2"/>
  <c r="R32" i="2" s="1"/>
  <c r="Q31" i="2"/>
  <c r="R31" i="2" s="1"/>
  <c r="Q30" i="2"/>
  <c r="R30" i="2" s="1"/>
  <c r="Q29" i="2"/>
  <c r="R29" i="2" s="1"/>
  <c r="Q28" i="2"/>
  <c r="R28" i="2" s="1"/>
  <c r="Q27" i="2"/>
  <c r="R27" i="2" s="1"/>
  <c r="Q26" i="2"/>
  <c r="R26" i="2" s="1"/>
  <c r="Q25" i="2"/>
  <c r="R25" i="2" s="1"/>
  <c r="Q24" i="2"/>
  <c r="R24" i="2" s="1"/>
  <c r="Q23" i="2"/>
  <c r="R23" i="2" s="1"/>
  <c r="Q22" i="2"/>
  <c r="R22" i="2" s="1"/>
  <c r="Q21" i="2"/>
  <c r="R21" i="2" s="1"/>
  <c r="Q20" i="2"/>
  <c r="R20" i="2" s="1"/>
  <c r="Q19" i="2"/>
  <c r="R19" i="2" s="1"/>
  <c r="Q18" i="2"/>
  <c r="R18" i="2" s="1"/>
  <c r="Q17" i="2"/>
  <c r="R17" i="2" s="1"/>
  <c r="Q16" i="2"/>
  <c r="R16" i="2" s="1"/>
  <c r="Q15" i="2"/>
  <c r="R15" i="2" s="1"/>
  <c r="Q14" i="2"/>
  <c r="R14" i="2" s="1"/>
  <c r="Q13" i="2"/>
  <c r="R13" i="2" s="1"/>
  <c r="Q12" i="2"/>
  <c r="R12" i="2" s="1"/>
  <c r="Q11" i="2"/>
  <c r="R11" i="2" s="1"/>
  <c r="Q10" i="2"/>
  <c r="R10" i="2" s="1"/>
  <c r="Q9" i="2"/>
  <c r="R9" i="2" s="1"/>
  <c r="Q8" i="2"/>
  <c r="R8" i="2" s="1"/>
  <c r="Q7" i="2"/>
  <c r="R7" i="2" s="1"/>
  <c r="Q6" i="2"/>
  <c r="R6" i="2" s="1"/>
  <c r="Q5" i="2"/>
  <c r="R5" i="2" s="1"/>
  <c r="Q4" i="2"/>
  <c r="R4" i="2" s="1"/>
  <c r="P2" i="2"/>
  <c r="O2" i="2"/>
  <c r="N2" i="2"/>
  <c r="M2" i="2"/>
  <c r="L2" i="2"/>
  <c r="K2" i="2"/>
  <c r="J2" i="2"/>
  <c r="I2" i="2"/>
  <c r="H2" i="2"/>
  <c r="G2" i="2"/>
  <c r="F2" i="2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15" i="3" l="1"/>
  <c r="C13" i="3"/>
  <c r="C11" i="3"/>
  <c r="D11" i="3" s="1"/>
  <c r="E11" i="3" s="1"/>
  <c r="C9" i="3"/>
  <c r="C7" i="3"/>
  <c r="D7" i="3" s="1"/>
  <c r="E7" i="3" s="1"/>
  <c r="C5" i="3"/>
  <c r="D5" i="3" s="1"/>
  <c r="E5" i="3" s="1"/>
  <c r="C14" i="3"/>
  <c r="D14" i="3" s="1"/>
  <c r="E14" i="3" s="1"/>
  <c r="C12" i="3"/>
  <c r="D12" i="3" s="1"/>
  <c r="E12" i="3" s="1"/>
  <c r="C10" i="3"/>
  <c r="D10" i="3" s="1"/>
  <c r="E10" i="3" s="1"/>
  <c r="C8" i="3"/>
  <c r="D8" i="3" s="1"/>
  <c r="E8" i="3" s="1"/>
  <c r="C6" i="3"/>
  <c r="C4" i="3"/>
  <c r="D6" i="3"/>
  <c r="E6" i="3" s="1"/>
  <c r="D13" i="3"/>
  <c r="E13" i="3" s="1"/>
  <c r="D9" i="3"/>
  <c r="E9" i="3" s="1"/>
  <c r="C15" i="3" l="1"/>
  <c r="D4" i="3"/>
  <c r="E4" i="3" s="1"/>
</calcChain>
</file>

<file path=xl/sharedStrings.xml><?xml version="1.0" encoding="utf-8"?>
<sst xmlns="http://schemas.openxmlformats.org/spreadsheetml/2006/main" count="260" uniqueCount="86">
  <si>
    <t>🪁 TARIFA WEEKEND — GUEST LIST</t>
  </si>
  <si>
    <t>#</t>
  </si>
  <si>
    <t>Guest Name</t>
  </si>
  <si>
    <t>Nickname</t>
  </si>
  <si>
    <t>Laura</t>
  </si>
  <si>
    <t>Alex</t>
  </si>
  <si>
    <t>Luis</t>
  </si>
  <si>
    <t>Matt</t>
  </si>
  <si>
    <t>Paul</t>
  </si>
  <si>
    <t>Vic</t>
  </si>
  <si>
    <t>Sara</t>
  </si>
  <si>
    <t>Selin</t>
  </si>
  <si>
    <t>Pedram</t>
  </si>
  <si>
    <t>Tyler</t>
  </si>
  <si>
    <t xml:space="preserve">Emmi </t>
  </si>
  <si>
    <t>💰 EXPENSE LOG</t>
  </si>
  <si>
    <t>Date</t>
  </si>
  <si>
    <t>Description</t>
  </si>
  <si>
    <t>Category</t>
  </si>
  <si>
    <t>Paid By</t>
  </si>
  <si>
    <t>Total Amount (€)</t>
  </si>
  <si>
    <t>Guest 1?</t>
  </si>
  <si>
    <t>Guest 2?</t>
  </si>
  <si>
    <t>Guest 3?</t>
  </si>
  <si>
    <t>Guest 4?</t>
  </si>
  <si>
    <t>Guest 5?</t>
  </si>
  <si>
    <t>Guest 6?</t>
  </si>
  <si>
    <t>Guest 7?</t>
  </si>
  <si>
    <t>Guest 8?</t>
  </si>
  <si>
    <t>Guest 9?</t>
  </si>
  <si>
    <t>Guest 10?</t>
  </si>
  <si>
    <t>Guest 11?</t>
  </si>
  <si>
    <t># Splitting</t>
  </si>
  <si>
    <t>Per Person</t>
  </si>
  <si>
    <t>Thursday diner</t>
  </si>
  <si>
    <t>Food</t>
  </si>
  <si>
    <t xml:space="preserve">Friday Breakfast </t>
  </si>
  <si>
    <t>Saturday Breakfast</t>
  </si>
  <si>
    <t>Sunday Breakfast</t>
  </si>
  <si>
    <t xml:space="preserve">Food </t>
  </si>
  <si>
    <t>Rooftop Drinks</t>
  </si>
  <si>
    <t>30/04-03/05</t>
  </si>
  <si>
    <t>Airbnb 1</t>
  </si>
  <si>
    <t>Accommodation</t>
  </si>
  <si>
    <t>02/05 - 03/05</t>
  </si>
  <si>
    <t>30/04-04/05</t>
  </si>
  <si>
    <t>Airbnb 2</t>
  </si>
  <si>
    <t>03/05-04/05</t>
  </si>
  <si>
    <t>Hotel</t>
  </si>
  <si>
    <t xml:space="preserve">Car rental </t>
  </si>
  <si>
    <t>Transport</t>
  </si>
  <si>
    <t>Kite Alex</t>
  </si>
  <si>
    <t>Kitesurf</t>
  </si>
  <si>
    <t xml:space="preserve">Kite Emmi </t>
  </si>
  <si>
    <t>Kite Pedram</t>
  </si>
  <si>
    <t xml:space="preserve">Velvet Kimono </t>
  </si>
  <si>
    <t>Other</t>
  </si>
  <si>
    <t xml:space="preserve">Laura </t>
  </si>
  <si>
    <t>HOW TO USE:</t>
  </si>
  <si>
    <t>1. Enter date, description, category, who paid, total amount</t>
  </si>
  <si>
    <t>2. Put '1' under each guest splitting this expense</t>
  </si>
  <si>
    <t>3. Leave blank for guests NOT included</t>
  </si>
  <si>
    <t>4. Summary sheet calculates everything automatically!</t>
  </si>
  <si>
    <t>Categories: Food, Transport, Accommodation, Kitesurf, Drinks, Activities, Other</t>
  </si>
  <si>
    <t>📊 WHO OWES WHAT — SUMMARY</t>
  </si>
  <si>
    <t>Guest</t>
  </si>
  <si>
    <t>Total Paid</t>
  </si>
  <si>
    <t>Total Owed</t>
  </si>
  <si>
    <t>Balance</t>
  </si>
  <si>
    <t>Status</t>
  </si>
  <si>
    <t>TOTAL</t>
  </si>
  <si>
    <t>💸 WHO PAYS WHO — SETTLEMENT PLAN</t>
  </si>
  <si>
    <t>Send these amounts to settle all debts:</t>
  </si>
  <si>
    <t>Who Pays</t>
  </si>
  <si>
    <t>→</t>
  </si>
  <si>
    <t>Pays To</t>
  </si>
  <si>
    <t>Amount (€)</t>
  </si>
  <si>
    <t>Emmi</t>
  </si>
  <si>
    <t>📋 INDIVIDUAL ACTIONS</t>
  </si>
  <si>
    <t>Person</t>
  </si>
  <si>
    <t>Action</t>
  </si>
  <si>
    <t>To Whom</t>
  </si>
  <si>
    <t>Amount</t>
  </si>
  <si>
    <t>Receives</t>
  </si>
  <si>
    <t>from everyone below ↑</t>
  </si>
  <si>
    <t>Pays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</si>
</sst>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\€#,##0.00"/>
    <numFmt numFmtId="166" formatCode="\€#,##0.00;[Red]&quot;(€&quot;#,##0.00\);\€0.00"/>
  </numFmts>
  <fonts count="24" x14ac:knownFonts="1">
    <font>
      <sz val="11"/>
      <color theme="1"/>
      <name val="Calibri"/>
      <family val="2"/>
      <charset val="1"/>
    </font>
    <font>
      <b/>
      <sz val="16"/>
      <color rgb="FF0077B6"/>
      <name val="Cambria"/>
      <family val="1"/>
      <charset val="1"/>
    </font>
    <font>
      <b/>
      <sz val="12"/>
      <color rgb="FFFFFFFF"/>
      <name val="Cambria"/>
      <family val="1"/>
      <charset val="1"/>
    </font>
    <font>
      <sz val="11"/>
      <color rgb="FF0000FF"/>
      <name val="Cambria"/>
      <family val="1"/>
      <charset val="1"/>
    </font>
    <font>
      <b/>
      <sz val="16"/>
      <color rgb="FFFF6B6B"/>
      <name val="Cambria"/>
      <family val="1"/>
      <charset val="1"/>
    </font>
    <font>
      <b/>
      <sz val="9"/>
      <color rgb="FF0077B6"/>
      <name val="Cambria"/>
      <family val="1"/>
      <charset val="1"/>
    </font>
    <font>
      <b/>
      <sz val="10"/>
      <color rgb="FFFFFFFF"/>
      <name val="Cambria"/>
      <family val="1"/>
      <charset val="1"/>
    </font>
    <font>
      <b/>
      <sz val="9"/>
      <color rgb="FF999999"/>
      <name val="Cambria"/>
      <family val="1"/>
      <charset val="1"/>
    </font>
    <font>
      <sz val="9"/>
      <color rgb="FF999999"/>
      <name val="Cambria"/>
      <family val="1"/>
      <charset val="1"/>
    </font>
    <font>
      <b/>
      <sz val="11"/>
      <color rgb="FFFF6B6B"/>
      <name val="Cambria"/>
      <family val="1"/>
      <charset val="1"/>
    </font>
    <font>
      <sz val="10"/>
      <color rgb="FF666666"/>
      <name val="Cambria"/>
      <family val="1"/>
      <charset val="1"/>
    </font>
    <font>
      <b/>
      <sz val="16"/>
      <color rgb="FF2EC4B6"/>
      <name val="Cambria"/>
      <family val="1"/>
      <charset val="1"/>
    </font>
    <font>
      <b/>
      <sz val="11"/>
      <name val="Cambria"/>
      <family val="1"/>
      <charset val="1"/>
    </font>
    <font>
      <b/>
      <sz val="12"/>
      <name val="Cambria"/>
      <family val="1"/>
      <charset val="1"/>
    </font>
    <font>
      <b/>
      <sz val="14"/>
      <color rgb="FFFF6B6B"/>
      <name val="Cambria"/>
      <family val="1"/>
    </font>
    <font>
      <i/>
      <sz val="10"/>
      <color rgb="FF888888"/>
      <name val="Cambria"/>
      <family val="1"/>
    </font>
    <font>
      <b/>
      <sz val="11"/>
      <color rgb="FFFFFFFF"/>
      <name val="Cambria"/>
      <family val="1"/>
    </font>
    <font>
      <sz val="11"/>
      <name val="Cambria"/>
      <family val="1"/>
    </font>
    <font>
      <sz val="11"/>
      <color rgb="FFFF6B6B"/>
      <name val="Cambria"/>
      <family val="1"/>
    </font>
    <font>
      <b/>
      <sz val="11"/>
      <color rgb="FF0077B6"/>
      <name val="Cambria"/>
      <family val="1"/>
    </font>
    <font>
      <b/>
      <sz val="11"/>
      <name val="Cambria"/>
      <family val="1"/>
    </font>
    <font>
      <b/>
      <sz val="14"/>
      <color rgb="FF0077B6"/>
      <name val="Cambria"/>
      <family val="1"/>
    </font>
    <font>
      <sz val="11"/>
      <color rgb="FF2EC4B6"/>
      <name val="Cambria"/>
      <family val="1"/>
    </font>
    <font>
      <b/>
      <sz val="11"/>
      <color rgb="FF2EC4B6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0077B6"/>
        <bgColor rgb="FF008080"/>
      </patternFill>
    </fill>
    <fill>
      <patternFill patternType="solid">
        <fgColor rgb="FFFFF3E0"/>
        <bgColor rgb="FFF0F8FF"/>
      </patternFill>
    </fill>
    <fill>
      <patternFill patternType="solid">
        <fgColor rgb="FFFF6B6B"/>
        <bgColor rgb="FFFF6600"/>
      </patternFill>
    </fill>
    <fill>
      <patternFill patternType="solid">
        <fgColor rgb="FFF0F8FF"/>
        <bgColor rgb="FFFFFFFF"/>
      </patternFill>
    </fill>
    <fill>
      <patternFill patternType="solid">
        <fgColor rgb="FF2EC4B6"/>
        <bgColor rgb="FF00CC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1" fillId="0" borderId="0" xfId="0" applyFont="1"/>
    <xf numFmtId="0" fontId="14" fillId="0" borderId="0" xfId="0" applyFont="1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0" fontId="3" fillId="3" borderId="1" xfId="0" applyFont="1" applyFill="1" applyBorder="1"/>
    <xf numFmtId="0" fontId="0" fillId="3" borderId="1" xfId="0" applyFill="1" applyBorder="1"/>
    <xf numFmtId="0" fontId="4" fillId="0" borderId="0" xfId="0" applyFont="1"/>
    <xf numFmtId="0" fontId="5" fillId="0" borderId="0" xfId="0" applyFont="1" applyAlignment="1">
      <alignment horizontal="center"/>
    </xf>
    <xf numFmtId="0" fontId="6" fillId="4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7" fillId="0" borderId="0" xfId="0" applyFont="1"/>
    <xf numFmtId="164" fontId="3" fillId="3" borderId="1" xfId="0" applyNumberFormat="1" applyFont="1" applyFill="1" applyBorder="1"/>
    <xf numFmtId="0" fontId="3" fillId="5" borderId="1" xfId="0" applyFont="1" applyFill="1" applyBorder="1" applyAlignment="1">
      <alignment horizontal="center"/>
    </xf>
    <xf numFmtId="0" fontId="8" fillId="0" borderId="0" xfId="0" applyFont="1"/>
    <xf numFmtId="165" fontId="8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2" fillId="6" borderId="1" xfId="0" applyFont="1" applyFill="1" applyBorder="1"/>
    <xf numFmtId="0" fontId="12" fillId="0" borderId="1" xfId="0" applyFont="1" applyBorder="1"/>
    <xf numFmtId="165" fontId="0" fillId="0" borderId="1" xfId="0" applyNumberFormat="1" applyBorder="1"/>
    <xf numFmtId="166" fontId="12" fillId="0" borderId="1" xfId="0" applyNumberFormat="1" applyFont="1" applyBorder="1"/>
    <xf numFmtId="0" fontId="13" fillId="0" borderId="0" xfId="0" applyFont="1"/>
    <xf numFmtId="165" fontId="12" fillId="0" borderId="0" xfId="0" applyNumberFormat="1" applyFont="1"/>
    <xf numFmtId="0" fontId="15" fillId="0" borderId="0" xfId="0" applyFont="1"/>
    <xf numFmtId="0" fontId="16" fillId="4" borderId="1" xfId="0" applyFont="1" applyFill="1" applyBorder="1" applyAlignment="1">
      <alignment horizontal="center"/>
    </xf>
    <xf numFmtId="0" fontId="17" fillId="0" borderId="1" xfId="0" applyFont="1" applyBorder="1"/>
    <xf numFmtId="165" fontId="18" fillId="0" borderId="1" xfId="0" applyNumberFormat="1" applyFont="1" applyBorder="1" applyAlignment="1">
      <alignment horizontal="center"/>
    </xf>
    <xf numFmtId="0" fontId="19" fillId="0" borderId="1" xfId="0" applyFont="1" applyBorder="1"/>
    <xf numFmtId="165" fontId="20" fillId="0" borderId="1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15" fillId="0" borderId="1" xfId="0" applyFont="1" applyBorder="1"/>
    <xf numFmtId="165" fontId="2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3E0"/>
      <rgbColor rgb="FFF0F8FF"/>
      <rgbColor rgb="FF660066"/>
      <rgbColor rgb="FFFF6B6B"/>
      <rgbColor rgb="FF0077B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EC4B6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zoomScaleNormal="100" workbookViewId="0">
      <selection activeCell="B18" sqref="B18"/>
    </sheetView>
  </sheetViews>
  <sheetFormatPr baseColWidth="10" defaultColWidth="8.6640625" defaultRowHeight="15" x14ac:dyDescent="0.2"/>
  <cols>
    <col min="1" max="1" width="6" customWidth="1"/>
    <col min="2" max="2" width="25" customWidth="1"/>
    <col min="3" max="3" width="20" customWidth="1"/>
  </cols>
  <sheetData>
    <row r="1" spans="1:3" ht="21" customHeight="1" x14ac:dyDescent="0.25">
      <c r="A1" s="3" t="s">
        <v>0</v>
      </c>
    </row>
    <row r="3" spans="1:3" ht="15.75" customHeight="1" x14ac:dyDescent="0.2">
      <c r="A3" s="4" t="s">
        <v>1</v>
      </c>
      <c r="B3" s="4" t="s">
        <v>2</v>
      </c>
      <c r="C3" s="4" t="s">
        <v>3</v>
      </c>
    </row>
    <row r="4" spans="1:3" x14ac:dyDescent="0.2">
      <c r="A4" s="5">
        <v>1</v>
      </c>
      <c r="B4" s="6" t="s">
        <v>4</v>
      </c>
      <c r="C4" s="7"/>
    </row>
    <row r="5" spans="1:3" x14ac:dyDescent="0.2">
      <c r="A5" s="5">
        <v>2</v>
      </c>
      <c r="B5" s="6" t="s">
        <v>5</v>
      </c>
      <c r="C5" s="7"/>
    </row>
    <row r="6" spans="1:3" x14ac:dyDescent="0.2">
      <c r="A6" s="5">
        <v>3</v>
      </c>
      <c r="B6" s="6" t="s">
        <v>6</v>
      </c>
      <c r="C6" s="7"/>
    </row>
    <row r="7" spans="1:3" x14ac:dyDescent="0.2">
      <c r="A7" s="5">
        <v>4</v>
      </c>
      <c r="B7" s="6" t="s">
        <v>7</v>
      </c>
      <c r="C7" s="7"/>
    </row>
    <row r="8" spans="1:3" x14ac:dyDescent="0.2">
      <c r="A8" s="5">
        <v>5</v>
      </c>
      <c r="B8" s="6" t="s">
        <v>8</v>
      </c>
      <c r="C8" s="7"/>
    </row>
    <row r="9" spans="1:3" x14ac:dyDescent="0.2">
      <c r="A9" s="5">
        <v>6</v>
      </c>
      <c r="B9" s="6" t="s">
        <v>9</v>
      </c>
      <c r="C9" s="7"/>
    </row>
    <row r="10" spans="1:3" x14ac:dyDescent="0.2">
      <c r="A10" s="5">
        <v>7</v>
      </c>
      <c r="B10" s="6" t="s">
        <v>10</v>
      </c>
      <c r="C10" s="7"/>
    </row>
    <row r="11" spans="1:3" x14ac:dyDescent="0.2">
      <c r="A11" s="5">
        <v>8</v>
      </c>
      <c r="B11" s="6" t="s">
        <v>11</v>
      </c>
      <c r="C11" s="7"/>
    </row>
    <row r="12" spans="1:3" x14ac:dyDescent="0.2">
      <c r="A12" s="5">
        <v>9</v>
      </c>
      <c r="B12" s="6" t="s">
        <v>12</v>
      </c>
      <c r="C12" s="7"/>
    </row>
    <row r="13" spans="1:3" x14ac:dyDescent="0.2">
      <c r="A13" s="5">
        <v>10</v>
      </c>
      <c r="B13" s="6" t="s">
        <v>13</v>
      </c>
      <c r="C13" s="7"/>
    </row>
    <row r="14" spans="1:3" x14ac:dyDescent="0.2">
      <c r="A14" s="5">
        <v>11</v>
      </c>
      <c r="B14" s="6" t="s">
        <v>14</v>
      </c>
      <c r="C14" s="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0"/>
  <sheetViews>
    <sheetView zoomScaleNormal="100" workbookViewId="0">
      <selection activeCell="C26" sqref="C26"/>
    </sheetView>
  </sheetViews>
  <sheetFormatPr baseColWidth="10" defaultColWidth="8.6640625" defaultRowHeight="15" x14ac:dyDescent="0.2"/>
  <cols>
    <col min="1" max="1" width="12" customWidth="1"/>
    <col min="2" max="2" width="30" customWidth="1"/>
    <col min="3" max="3" width="14" customWidth="1"/>
    <col min="4" max="5" width="16" customWidth="1"/>
    <col min="6" max="16" width="12" customWidth="1"/>
    <col min="17" max="17" width="10" customWidth="1"/>
    <col min="18" max="18" width="12" customWidth="1"/>
  </cols>
  <sheetData>
    <row r="1" spans="1:18" ht="21" customHeight="1" x14ac:dyDescent="0.25">
      <c r="A1" s="8" t="s">
        <v>15</v>
      </c>
    </row>
    <row r="2" spans="1:18" x14ac:dyDescent="0.2">
      <c r="F2" s="9" t="str">
        <f>Guests!B4</f>
        <v>Laura</v>
      </c>
      <c r="G2" s="9" t="str">
        <f>Guests!B5</f>
        <v>Alex</v>
      </c>
      <c r="H2" s="9" t="str">
        <f>Guests!B6</f>
        <v>Luis</v>
      </c>
      <c r="I2" s="9" t="str">
        <f>Guests!B7</f>
        <v>Matt</v>
      </c>
      <c r="J2" s="9" t="str">
        <f>Guests!B8</f>
        <v>Paul</v>
      </c>
      <c r="K2" s="9" t="str">
        <f>Guests!B9</f>
        <v>Vic</v>
      </c>
      <c r="L2" s="9" t="str">
        <f>Guests!B10</f>
        <v>Sara</v>
      </c>
      <c r="M2" s="9" t="str">
        <f>Guests!B11</f>
        <v>Selin</v>
      </c>
      <c r="N2" s="9" t="str">
        <f>Guests!B12</f>
        <v>Pedram</v>
      </c>
      <c r="O2" s="9" t="str">
        <f>Guests!B13</f>
        <v>Tyler</v>
      </c>
      <c r="P2" s="9" t="str">
        <f>Guests!B14</f>
        <v xml:space="preserve">Emmi </v>
      </c>
    </row>
    <row r="3" spans="1:18" x14ac:dyDescent="0.2">
      <c r="A3" s="10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11" t="s">
        <v>21</v>
      </c>
      <c r="G3" s="11" t="s">
        <v>22</v>
      </c>
      <c r="H3" s="11" t="s">
        <v>23</v>
      </c>
      <c r="I3" s="11" t="s">
        <v>24</v>
      </c>
      <c r="J3" s="11" t="s">
        <v>25</v>
      </c>
      <c r="K3" s="11" t="s">
        <v>26</v>
      </c>
      <c r="L3" s="11" t="s">
        <v>27</v>
      </c>
      <c r="M3" s="11" t="s">
        <v>28</v>
      </c>
      <c r="N3" s="11" t="s">
        <v>29</v>
      </c>
      <c r="O3" s="11" t="s">
        <v>30</v>
      </c>
      <c r="P3" s="11" t="s">
        <v>31</v>
      </c>
      <c r="Q3" s="12" t="s">
        <v>32</v>
      </c>
      <c r="R3" s="12" t="s">
        <v>33</v>
      </c>
    </row>
    <row r="4" spans="1:18" x14ac:dyDescent="0.2">
      <c r="A4" s="13">
        <v>46142</v>
      </c>
      <c r="B4" s="6" t="s">
        <v>34</v>
      </c>
      <c r="C4" s="6" t="s">
        <v>35</v>
      </c>
      <c r="D4" s="6" t="s">
        <v>12</v>
      </c>
      <c r="E4" s="6">
        <v>220</v>
      </c>
      <c r="F4" s="14">
        <v>1</v>
      </c>
      <c r="G4" s="14">
        <v>1</v>
      </c>
      <c r="H4" s="14"/>
      <c r="I4" s="14"/>
      <c r="J4" s="14">
        <v>1</v>
      </c>
      <c r="K4" s="14">
        <v>1</v>
      </c>
      <c r="L4" s="14"/>
      <c r="M4" s="14"/>
      <c r="N4" s="14">
        <v>1</v>
      </c>
      <c r="O4" s="14"/>
      <c r="P4" s="14"/>
      <c r="Q4" s="15">
        <f t="shared" ref="Q4:Q33" si="0">COUNTIF(F4:P4,"1")</f>
        <v>5</v>
      </c>
      <c r="R4" s="16">
        <f t="shared" ref="R4:R33" si="1">IF(Q4&gt;0,E4/Q4,0)</f>
        <v>44</v>
      </c>
    </row>
    <row r="5" spans="1:18" x14ac:dyDescent="0.2">
      <c r="A5" s="13">
        <v>46143</v>
      </c>
      <c r="B5" s="6" t="s">
        <v>36</v>
      </c>
      <c r="C5" s="6" t="s">
        <v>35</v>
      </c>
      <c r="D5" s="6" t="s">
        <v>6</v>
      </c>
      <c r="E5" s="6">
        <v>183</v>
      </c>
      <c r="F5" s="14">
        <v>1</v>
      </c>
      <c r="G5" s="14">
        <v>1</v>
      </c>
      <c r="H5" s="14">
        <v>1</v>
      </c>
      <c r="I5" s="14"/>
      <c r="J5" s="14">
        <v>1</v>
      </c>
      <c r="K5" s="14">
        <v>1</v>
      </c>
      <c r="L5" s="14">
        <v>1</v>
      </c>
      <c r="M5" s="14">
        <v>1</v>
      </c>
      <c r="N5" s="14"/>
      <c r="O5" s="14">
        <v>1</v>
      </c>
      <c r="P5" s="14"/>
      <c r="Q5" s="15">
        <f t="shared" si="0"/>
        <v>8</v>
      </c>
      <c r="R5" s="16">
        <f t="shared" si="1"/>
        <v>22.875</v>
      </c>
    </row>
    <row r="6" spans="1:18" x14ac:dyDescent="0.2">
      <c r="A6" s="13">
        <v>46144</v>
      </c>
      <c r="B6" s="6" t="s">
        <v>37</v>
      </c>
      <c r="C6" s="6" t="s">
        <v>35</v>
      </c>
      <c r="D6" s="6" t="s">
        <v>4</v>
      </c>
      <c r="E6" s="6">
        <v>107</v>
      </c>
      <c r="F6" s="14">
        <v>1</v>
      </c>
      <c r="G6" s="14">
        <v>1</v>
      </c>
      <c r="H6" s="14">
        <v>1</v>
      </c>
      <c r="I6" s="14"/>
      <c r="J6" s="14">
        <v>1</v>
      </c>
      <c r="K6" s="14">
        <v>1</v>
      </c>
      <c r="L6" s="14"/>
      <c r="M6" s="14"/>
      <c r="N6" s="14"/>
      <c r="O6" s="14"/>
      <c r="P6" s="14"/>
      <c r="Q6" s="15">
        <f t="shared" si="0"/>
        <v>5</v>
      </c>
      <c r="R6" s="16">
        <f t="shared" si="1"/>
        <v>21.4</v>
      </c>
    </row>
    <row r="7" spans="1:18" x14ac:dyDescent="0.2">
      <c r="A7" s="13">
        <v>46145</v>
      </c>
      <c r="B7" s="6" t="s">
        <v>38</v>
      </c>
      <c r="C7" s="6" t="s">
        <v>39</v>
      </c>
      <c r="D7" s="6" t="s">
        <v>4</v>
      </c>
      <c r="E7" s="6">
        <v>55</v>
      </c>
      <c r="F7" s="14">
        <v>1</v>
      </c>
      <c r="G7" s="14">
        <v>1</v>
      </c>
      <c r="H7" s="14">
        <v>1</v>
      </c>
      <c r="I7" s="14">
        <v>1</v>
      </c>
      <c r="J7" s="14">
        <v>1</v>
      </c>
      <c r="K7" s="14">
        <v>1</v>
      </c>
      <c r="L7" s="14">
        <v>1</v>
      </c>
      <c r="M7" s="14">
        <v>1</v>
      </c>
      <c r="N7" s="14">
        <v>1</v>
      </c>
      <c r="O7" s="14">
        <v>1</v>
      </c>
      <c r="P7" s="14">
        <v>1</v>
      </c>
      <c r="Q7" s="15">
        <f t="shared" si="0"/>
        <v>11</v>
      </c>
      <c r="R7" s="16">
        <f t="shared" si="1"/>
        <v>5</v>
      </c>
    </row>
    <row r="8" spans="1:18" x14ac:dyDescent="0.2">
      <c r="A8" s="13">
        <v>46144</v>
      </c>
      <c r="B8" s="6" t="s">
        <v>40</v>
      </c>
      <c r="C8" s="6" t="s">
        <v>35</v>
      </c>
      <c r="D8" s="6" t="s">
        <v>5</v>
      </c>
      <c r="E8" s="6">
        <v>65</v>
      </c>
      <c r="F8" s="14">
        <v>1</v>
      </c>
      <c r="G8" s="14">
        <v>1</v>
      </c>
      <c r="H8" s="14">
        <v>1</v>
      </c>
      <c r="I8" s="14">
        <v>1</v>
      </c>
      <c r="J8" s="14">
        <v>1</v>
      </c>
      <c r="K8" s="14">
        <v>1</v>
      </c>
      <c r="L8" s="14">
        <v>1</v>
      </c>
      <c r="M8" s="14">
        <v>1</v>
      </c>
      <c r="N8" s="14">
        <v>1</v>
      </c>
      <c r="O8" s="14">
        <v>1</v>
      </c>
      <c r="P8" s="14"/>
      <c r="Q8" s="15">
        <f t="shared" si="0"/>
        <v>10</v>
      </c>
      <c r="R8" s="16">
        <f t="shared" si="1"/>
        <v>6.5</v>
      </c>
    </row>
    <row r="9" spans="1:18" x14ac:dyDescent="0.2">
      <c r="A9" s="6" t="s">
        <v>41</v>
      </c>
      <c r="B9" s="6" t="s">
        <v>42</v>
      </c>
      <c r="C9" s="6" t="s">
        <v>43</v>
      </c>
      <c r="D9" s="6" t="s">
        <v>4</v>
      </c>
      <c r="E9" s="6">
        <v>844</v>
      </c>
      <c r="F9" s="14">
        <v>1</v>
      </c>
      <c r="G9" s="14">
        <v>1</v>
      </c>
      <c r="H9" s="14">
        <v>1</v>
      </c>
      <c r="I9" s="14"/>
      <c r="J9" s="14">
        <v>1</v>
      </c>
      <c r="K9" s="14">
        <v>1</v>
      </c>
      <c r="L9" s="14">
        <v>1</v>
      </c>
      <c r="M9" s="14"/>
      <c r="N9" s="14"/>
      <c r="O9" s="14"/>
      <c r="P9" s="14"/>
      <c r="Q9" s="15">
        <f t="shared" si="0"/>
        <v>6</v>
      </c>
      <c r="R9" s="16">
        <f t="shared" si="1"/>
        <v>140.66666666666666</v>
      </c>
    </row>
    <row r="10" spans="1:18" x14ac:dyDescent="0.2">
      <c r="A10" s="6" t="s">
        <v>44</v>
      </c>
      <c r="B10" s="6" t="s">
        <v>42</v>
      </c>
      <c r="C10" s="6" t="s">
        <v>43</v>
      </c>
      <c r="D10" s="6" t="s">
        <v>4</v>
      </c>
      <c r="E10" s="6">
        <v>47</v>
      </c>
      <c r="F10" s="14"/>
      <c r="G10" s="14"/>
      <c r="H10" s="14"/>
      <c r="I10" s="14">
        <v>1</v>
      </c>
      <c r="J10" s="14"/>
      <c r="K10" s="14"/>
      <c r="L10" s="14"/>
      <c r="M10" s="14"/>
      <c r="N10" s="14"/>
      <c r="O10" s="14"/>
      <c r="P10" s="14"/>
      <c r="Q10" s="15">
        <f t="shared" si="0"/>
        <v>1</v>
      </c>
      <c r="R10" s="16">
        <f t="shared" si="1"/>
        <v>47</v>
      </c>
    </row>
    <row r="11" spans="1:18" x14ac:dyDescent="0.2">
      <c r="A11" s="6" t="s">
        <v>45</v>
      </c>
      <c r="B11" s="6" t="s">
        <v>46</v>
      </c>
      <c r="C11" s="6" t="s">
        <v>43</v>
      </c>
      <c r="D11" s="6" t="s">
        <v>4</v>
      </c>
      <c r="E11" s="6">
        <v>1313.38</v>
      </c>
      <c r="F11" s="14"/>
      <c r="G11" s="14"/>
      <c r="H11" s="14"/>
      <c r="I11" s="14"/>
      <c r="J11" s="14"/>
      <c r="K11" s="14"/>
      <c r="L11" s="14"/>
      <c r="M11" s="14">
        <v>1</v>
      </c>
      <c r="N11" s="14">
        <v>1</v>
      </c>
      <c r="O11" s="14">
        <v>1</v>
      </c>
      <c r="P11" s="14">
        <v>1</v>
      </c>
      <c r="Q11" s="15">
        <f t="shared" si="0"/>
        <v>4</v>
      </c>
      <c r="R11" s="16">
        <f t="shared" si="1"/>
        <v>328.34500000000003</v>
      </c>
    </row>
    <row r="12" spans="1:18" x14ac:dyDescent="0.2">
      <c r="A12" s="6" t="s">
        <v>47</v>
      </c>
      <c r="B12" s="6" t="s">
        <v>48</v>
      </c>
      <c r="C12" s="6" t="s">
        <v>43</v>
      </c>
      <c r="D12" s="6" t="s">
        <v>4</v>
      </c>
      <c r="E12" s="6">
        <v>300</v>
      </c>
      <c r="F12" s="14">
        <v>1</v>
      </c>
      <c r="G12" s="14"/>
      <c r="H12" s="14">
        <v>1</v>
      </c>
      <c r="I12" s="14">
        <v>1</v>
      </c>
      <c r="J12" s="14"/>
      <c r="K12" s="14"/>
      <c r="L12" s="14"/>
      <c r="M12" s="14"/>
      <c r="N12" s="14"/>
      <c r="O12" s="14"/>
      <c r="P12" s="14"/>
      <c r="Q12" s="15">
        <f t="shared" si="0"/>
        <v>3</v>
      </c>
      <c r="R12" s="16">
        <f t="shared" si="1"/>
        <v>100</v>
      </c>
    </row>
    <row r="13" spans="1:18" x14ac:dyDescent="0.2">
      <c r="A13" s="6" t="s">
        <v>45</v>
      </c>
      <c r="B13" s="6" t="s">
        <v>49</v>
      </c>
      <c r="C13" s="6" t="s">
        <v>50</v>
      </c>
      <c r="D13" s="6" t="s">
        <v>4</v>
      </c>
      <c r="E13" s="6">
        <v>250</v>
      </c>
      <c r="F13" s="14">
        <v>1</v>
      </c>
      <c r="G13" s="14"/>
      <c r="H13" s="14">
        <v>1</v>
      </c>
      <c r="I13" s="14"/>
      <c r="J13" s="14"/>
      <c r="K13" s="14"/>
      <c r="L13" s="14">
        <v>1</v>
      </c>
      <c r="M13" s="14"/>
      <c r="N13" s="14"/>
      <c r="O13" s="14"/>
      <c r="P13" s="14"/>
      <c r="Q13" s="15">
        <f t="shared" si="0"/>
        <v>3</v>
      </c>
      <c r="R13" s="16">
        <f t="shared" si="1"/>
        <v>83.333333333333329</v>
      </c>
    </row>
    <row r="14" spans="1:18" x14ac:dyDescent="0.2">
      <c r="A14" s="6" t="s">
        <v>45</v>
      </c>
      <c r="B14" s="6" t="s">
        <v>51</v>
      </c>
      <c r="C14" s="6" t="s">
        <v>52</v>
      </c>
      <c r="D14" s="6" t="s">
        <v>4</v>
      </c>
      <c r="E14" s="6">
        <v>428</v>
      </c>
      <c r="F14" s="14"/>
      <c r="G14" s="14">
        <v>1</v>
      </c>
      <c r="H14" s="14"/>
      <c r="I14" s="14"/>
      <c r="J14" s="14"/>
      <c r="K14" s="14"/>
      <c r="L14" s="14"/>
      <c r="M14" s="14"/>
      <c r="N14" s="14"/>
      <c r="O14" s="14"/>
      <c r="P14" s="14"/>
      <c r="Q14" s="15">
        <f t="shared" si="0"/>
        <v>1</v>
      </c>
      <c r="R14" s="16">
        <f t="shared" si="1"/>
        <v>428</v>
      </c>
    </row>
    <row r="15" spans="1:18" x14ac:dyDescent="0.2">
      <c r="A15" s="13">
        <v>46144</v>
      </c>
      <c r="B15" s="6" t="s">
        <v>53</v>
      </c>
      <c r="C15" s="6" t="s">
        <v>52</v>
      </c>
      <c r="D15" s="6" t="s">
        <v>4</v>
      </c>
      <c r="E15" s="6">
        <v>160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>
        <v>1</v>
      </c>
      <c r="Q15" s="15">
        <f t="shared" si="0"/>
        <v>1</v>
      </c>
      <c r="R15" s="16">
        <f t="shared" si="1"/>
        <v>160</v>
      </c>
    </row>
    <row r="16" spans="1:18" x14ac:dyDescent="0.2">
      <c r="A16" s="6" t="s">
        <v>45</v>
      </c>
      <c r="B16" s="6" t="s">
        <v>54</v>
      </c>
      <c r="C16" s="6" t="s">
        <v>52</v>
      </c>
      <c r="D16" s="6" t="s">
        <v>4</v>
      </c>
      <c r="E16" s="6">
        <v>160</v>
      </c>
      <c r="F16" s="14"/>
      <c r="G16" s="14"/>
      <c r="H16" s="14"/>
      <c r="I16" s="14"/>
      <c r="J16" s="14"/>
      <c r="K16" s="14"/>
      <c r="L16" s="14"/>
      <c r="M16" s="14"/>
      <c r="N16" s="14">
        <v>1</v>
      </c>
      <c r="O16" s="14"/>
      <c r="P16" s="14"/>
      <c r="Q16" s="15">
        <f t="shared" si="0"/>
        <v>1</v>
      </c>
      <c r="R16" s="16">
        <f t="shared" si="1"/>
        <v>160</v>
      </c>
    </row>
    <row r="17" spans="1:18" x14ac:dyDescent="0.2">
      <c r="A17" s="13">
        <v>46146</v>
      </c>
      <c r="B17" s="6" t="s">
        <v>55</v>
      </c>
      <c r="C17" s="6" t="s">
        <v>56</v>
      </c>
      <c r="D17" s="6" t="s">
        <v>57</v>
      </c>
      <c r="E17" s="6">
        <v>98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>
        <v>1</v>
      </c>
      <c r="Q17" s="15">
        <f t="shared" si="0"/>
        <v>1</v>
      </c>
      <c r="R17" s="16">
        <f t="shared" si="1"/>
        <v>98</v>
      </c>
    </row>
    <row r="18" spans="1:18" x14ac:dyDescent="0.2">
      <c r="A18" s="6"/>
      <c r="B18" s="6"/>
      <c r="C18" s="6"/>
      <c r="D18" s="6"/>
      <c r="E18" s="6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5">
        <f t="shared" si="0"/>
        <v>0</v>
      </c>
      <c r="R18" s="16">
        <f t="shared" si="1"/>
        <v>0</v>
      </c>
    </row>
    <row r="19" spans="1:18" x14ac:dyDescent="0.2">
      <c r="A19" s="6"/>
      <c r="B19" s="6"/>
      <c r="C19" s="6"/>
      <c r="D19" s="6"/>
      <c r="E19" s="6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5">
        <f t="shared" si="0"/>
        <v>0</v>
      </c>
      <c r="R19" s="16">
        <f t="shared" si="1"/>
        <v>0</v>
      </c>
    </row>
    <row r="20" spans="1:18" x14ac:dyDescent="0.2">
      <c r="A20" s="6"/>
      <c r="B20" s="6"/>
      <c r="C20" s="6"/>
      <c r="D20" s="6"/>
      <c r="E20" s="6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5">
        <f t="shared" si="0"/>
        <v>0</v>
      </c>
      <c r="R20" s="16">
        <f t="shared" si="1"/>
        <v>0</v>
      </c>
    </row>
    <row r="21" spans="1:18" x14ac:dyDescent="0.2">
      <c r="A21" s="6"/>
      <c r="B21" s="6"/>
      <c r="C21" s="6"/>
      <c r="D21" s="6"/>
      <c r="E21" s="6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5">
        <f t="shared" si="0"/>
        <v>0</v>
      </c>
      <c r="R21" s="16">
        <f t="shared" si="1"/>
        <v>0</v>
      </c>
    </row>
    <row r="22" spans="1:18" x14ac:dyDescent="0.2">
      <c r="A22" s="6"/>
      <c r="B22" s="6"/>
      <c r="C22" s="6"/>
      <c r="D22" s="6"/>
      <c r="E22" s="6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5">
        <f t="shared" si="0"/>
        <v>0</v>
      </c>
      <c r="R22" s="16">
        <f t="shared" si="1"/>
        <v>0</v>
      </c>
    </row>
    <row r="23" spans="1:18" x14ac:dyDescent="0.2">
      <c r="A23" s="6"/>
      <c r="B23" s="6"/>
      <c r="C23" s="6"/>
      <c r="D23" s="6"/>
      <c r="E23" s="6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5">
        <f t="shared" si="0"/>
        <v>0</v>
      </c>
      <c r="R23" s="16">
        <f t="shared" si="1"/>
        <v>0</v>
      </c>
    </row>
    <row r="24" spans="1:18" x14ac:dyDescent="0.2">
      <c r="A24" s="6"/>
      <c r="B24" s="6"/>
      <c r="C24" s="6"/>
      <c r="D24" s="6"/>
      <c r="E24" s="6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>
        <f t="shared" si="0"/>
        <v>0</v>
      </c>
      <c r="R24" s="16">
        <f t="shared" si="1"/>
        <v>0</v>
      </c>
    </row>
    <row r="25" spans="1:18" x14ac:dyDescent="0.2">
      <c r="A25" s="6"/>
      <c r="B25" s="6"/>
      <c r="C25" s="6"/>
      <c r="D25" s="6"/>
      <c r="E25" s="6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5">
        <f t="shared" si="0"/>
        <v>0</v>
      </c>
      <c r="R25" s="16">
        <f t="shared" si="1"/>
        <v>0</v>
      </c>
    </row>
    <row r="26" spans="1:18" x14ac:dyDescent="0.2">
      <c r="A26" s="6"/>
      <c r="B26" s="6"/>
      <c r="C26" s="6"/>
      <c r="D26" s="6"/>
      <c r="E26" s="6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5">
        <f t="shared" si="0"/>
        <v>0</v>
      </c>
      <c r="R26" s="16">
        <f t="shared" si="1"/>
        <v>0</v>
      </c>
    </row>
    <row r="27" spans="1:18" x14ac:dyDescent="0.2">
      <c r="A27" s="6"/>
      <c r="B27" s="6"/>
      <c r="C27" s="6"/>
      <c r="D27" s="6"/>
      <c r="E27" s="6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5">
        <f t="shared" si="0"/>
        <v>0</v>
      </c>
      <c r="R27" s="16">
        <f t="shared" si="1"/>
        <v>0</v>
      </c>
    </row>
    <row r="28" spans="1:18" x14ac:dyDescent="0.2">
      <c r="A28" s="6"/>
      <c r="B28" s="6"/>
      <c r="C28" s="6"/>
      <c r="D28" s="6"/>
      <c r="E28" s="6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5">
        <f t="shared" si="0"/>
        <v>0</v>
      </c>
      <c r="R28" s="16">
        <f t="shared" si="1"/>
        <v>0</v>
      </c>
    </row>
    <row r="29" spans="1:18" x14ac:dyDescent="0.2">
      <c r="A29" s="6"/>
      <c r="B29" s="6"/>
      <c r="C29" s="6"/>
      <c r="D29" s="6"/>
      <c r="E29" s="6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5">
        <f t="shared" si="0"/>
        <v>0</v>
      </c>
      <c r="R29" s="16">
        <f t="shared" si="1"/>
        <v>0</v>
      </c>
    </row>
    <row r="30" spans="1:18" x14ac:dyDescent="0.2">
      <c r="A30" s="6"/>
      <c r="B30" s="6"/>
      <c r="C30" s="6"/>
      <c r="D30" s="6"/>
      <c r="E30" s="6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5">
        <f t="shared" si="0"/>
        <v>0</v>
      </c>
      <c r="R30" s="16">
        <f t="shared" si="1"/>
        <v>0</v>
      </c>
    </row>
    <row r="31" spans="1:18" x14ac:dyDescent="0.2">
      <c r="A31" s="6"/>
      <c r="B31" s="6"/>
      <c r="C31" s="6"/>
      <c r="D31" s="6"/>
      <c r="E31" s="6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5">
        <f t="shared" si="0"/>
        <v>0</v>
      </c>
      <c r="R31" s="16">
        <f t="shared" si="1"/>
        <v>0</v>
      </c>
    </row>
    <row r="32" spans="1:18" x14ac:dyDescent="0.2">
      <c r="A32" s="6"/>
      <c r="B32" s="6"/>
      <c r="C32" s="6"/>
      <c r="D32" s="6"/>
      <c r="E32" s="6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5">
        <f t="shared" si="0"/>
        <v>0</v>
      </c>
      <c r="R32" s="16">
        <f t="shared" si="1"/>
        <v>0</v>
      </c>
    </row>
    <row r="33" spans="1:18" x14ac:dyDescent="0.2">
      <c r="A33" s="6"/>
      <c r="B33" s="6"/>
      <c r="C33" s="6"/>
      <c r="D33" s="6"/>
      <c r="E33" s="6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5">
        <f t="shared" si="0"/>
        <v>0</v>
      </c>
      <c r="R33" s="16">
        <f t="shared" si="1"/>
        <v>0</v>
      </c>
    </row>
    <row r="35" spans="1:18" x14ac:dyDescent="0.2">
      <c r="A35" s="17" t="s">
        <v>58</v>
      </c>
    </row>
    <row r="36" spans="1:18" x14ac:dyDescent="0.2">
      <c r="A36" s="18" t="s">
        <v>59</v>
      </c>
    </row>
    <row r="37" spans="1:18" x14ac:dyDescent="0.2">
      <c r="A37" s="18" t="s">
        <v>60</v>
      </c>
    </row>
    <row r="38" spans="1:18" x14ac:dyDescent="0.2">
      <c r="A38" s="18" t="s">
        <v>61</v>
      </c>
    </row>
    <row r="39" spans="1:18" x14ac:dyDescent="0.2">
      <c r="A39" s="18" t="s">
        <v>62</v>
      </c>
    </row>
    <row r="40" spans="1:18" x14ac:dyDescent="0.2">
      <c r="A40" s="18" t="s">
        <v>63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6"/>
  <sheetViews>
    <sheetView tabSelected="1" topLeftCell="A4" zoomScale="131" zoomScaleNormal="100" workbookViewId="0">
      <selection activeCell="F23" sqref="F23"/>
    </sheetView>
  </sheetViews>
  <sheetFormatPr baseColWidth="10" defaultColWidth="8.6640625" defaultRowHeight="15" x14ac:dyDescent="0.2"/>
  <cols>
    <col min="1" max="1" width="22" customWidth="1"/>
    <col min="2" max="2" width="12" customWidth="1"/>
    <col min="3" max="3" width="22" customWidth="1"/>
    <col min="4" max="4" width="16" customWidth="1"/>
    <col min="5" max="5" width="22" customWidth="1"/>
  </cols>
  <sheetData>
    <row r="1" spans="1:5" ht="21" customHeight="1" x14ac:dyDescent="0.25">
      <c r="A1" s="19" t="s">
        <v>64</v>
      </c>
    </row>
    <row r="3" spans="1:5" ht="15.75" customHeight="1" x14ac:dyDescent="0.2">
      <c r="A3" s="20" t="s">
        <v>65</v>
      </c>
      <c r="B3" s="20" t="s">
        <v>66</v>
      </c>
      <c r="C3" s="20" t="s">
        <v>67</v>
      </c>
      <c r="D3" s="20" t="s">
        <v>68</v>
      </c>
      <c r="E3" s="20" t="s">
        <v>69</v>
      </c>
    </row>
    <row r="4" spans="1:5" x14ac:dyDescent="0.2">
      <c r="A4" s="21" t="str">
        <f>Guests!B4</f>
        <v>Laura</v>
      </c>
      <c r="B4" s="22">
        <f>SUMPRODUCT((Expenses!D4:D33=Guests!B4)*Expenses!E4:E33)</f>
        <v>3664.38</v>
      </c>
      <c r="C4" s="22">
        <f>SUMPRODUCT((Expenses!F4:F33=1)*Expenses!R4:R33)</f>
        <v>423.77499999999998</v>
      </c>
      <c r="D4" s="23">
        <f t="shared" ref="D4:D14" si="0">B4-C4</f>
        <v>3240.605</v>
      </c>
      <c r="E4" s="5" t="str">
        <f t="shared" ref="E4:E14" si="1">IF(D4&gt;0,"Is owed €" &amp; TEXT(D4,"#,##0.00"),IF(D4&lt;0,"Owes €" &amp; TEXT(ABS(D4),"#,##0.00"),"Settled ✅"))</f>
        <v>Is owed €3,240.61</v>
      </c>
    </row>
    <row r="5" spans="1:5" x14ac:dyDescent="0.2">
      <c r="A5" s="21" t="str">
        <f>Guests!B5</f>
        <v>Alex</v>
      </c>
      <c r="B5" s="22">
        <f>SUMPRODUCT((Expenses!D4:D33=Guests!B5)*Expenses!E4:E33)</f>
        <v>65</v>
      </c>
      <c r="C5" s="22">
        <f>SUMPRODUCT((Expenses!G4:G33=1)*Expenses!R4:R33)</f>
        <v>668.44166666666661</v>
      </c>
      <c r="D5" s="23">
        <f t="shared" si="0"/>
        <v>-603.44166666666661</v>
      </c>
      <c r="E5" s="5" t="str">
        <f t="shared" si="1"/>
        <v>Owes €603.44</v>
      </c>
    </row>
    <row r="6" spans="1:5" x14ac:dyDescent="0.2">
      <c r="A6" s="21" t="str">
        <f>Guests!B6</f>
        <v>Luis</v>
      </c>
      <c r="B6" s="22">
        <f>SUMPRODUCT((Expenses!D4:D33=Guests!B6)*Expenses!E4:E33)</f>
        <v>183</v>
      </c>
      <c r="C6" s="22">
        <f>SUMPRODUCT((Expenses!H4:H33=1)*Expenses!R4:R33)</f>
        <v>379.77499999999998</v>
      </c>
      <c r="D6" s="23">
        <f t="shared" si="0"/>
        <v>-196.77499999999998</v>
      </c>
      <c r="E6" s="5" t="str">
        <f t="shared" si="1"/>
        <v>Owes €196.78</v>
      </c>
    </row>
    <row r="7" spans="1:5" x14ac:dyDescent="0.2">
      <c r="A7" s="21" t="str">
        <f>Guests!B7</f>
        <v>Matt</v>
      </c>
      <c r="B7" s="22">
        <f>SUMPRODUCT((Expenses!D4:D33=Guests!B7)*Expenses!E4:E33)</f>
        <v>0</v>
      </c>
      <c r="C7" s="22">
        <f>SUMPRODUCT((Expenses!I4:I33=1)*Expenses!R4:R33)</f>
        <v>158.5</v>
      </c>
      <c r="D7" s="23">
        <f t="shared" si="0"/>
        <v>-158.5</v>
      </c>
      <c r="E7" s="5" t="str">
        <f t="shared" si="1"/>
        <v>Owes €158.50</v>
      </c>
    </row>
    <row r="8" spans="1:5" x14ac:dyDescent="0.2">
      <c r="A8" s="21" t="str">
        <f>Guests!B8</f>
        <v>Paul</v>
      </c>
      <c r="B8" s="22">
        <f>SUMPRODUCT((Expenses!D4:D33=Guests!B8)*Expenses!E4:E33)</f>
        <v>0</v>
      </c>
      <c r="C8" s="22">
        <f>SUMPRODUCT((Expenses!J4:J33=1)*Expenses!R4:R33)</f>
        <v>240.44166666666666</v>
      </c>
      <c r="D8" s="23">
        <f t="shared" si="0"/>
        <v>-240.44166666666666</v>
      </c>
      <c r="E8" s="5" t="str">
        <f t="shared" si="1"/>
        <v>Owes €240.44</v>
      </c>
    </row>
    <row r="9" spans="1:5" x14ac:dyDescent="0.2">
      <c r="A9" s="21" t="str">
        <f>Guests!B9</f>
        <v>Vic</v>
      </c>
      <c r="B9" s="22">
        <f>SUMPRODUCT((Expenses!D4:D33=Guests!B9)*Expenses!E4:E33)</f>
        <v>0</v>
      </c>
      <c r="C9" s="22">
        <f>SUMPRODUCT((Expenses!K4:K33=1)*Expenses!R4:R33)</f>
        <v>240.44166666666666</v>
      </c>
      <c r="D9" s="23">
        <f t="shared" si="0"/>
        <v>-240.44166666666666</v>
      </c>
      <c r="E9" s="5" t="str">
        <f t="shared" si="1"/>
        <v>Owes €240.44</v>
      </c>
    </row>
    <row r="10" spans="1:5" x14ac:dyDescent="0.2">
      <c r="A10" s="21" t="str">
        <f>Guests!B10</f>
        <v>Sara</v>
      </c>
      <c r="B10" s="22">
        <f>SUMPRODUCT((Expenses!D4:D33=Guests!B10)*Expenses!E4:E33)</f>
        <v>0</v>
      </c>
      <c r="C10" s="22">
        <f>SUMPRODUCT((Expenses!L4:L33=1)*Expenses!R4:R33)</f>
        <v>258.375</v>
      </c>
      <c r="D10" s="23">
        <f t="shared" si="0"/>
        <v>-258.375</v>
      </c>
      <c r="E10" s="5" t="str">
        <f t="shared" si="1"/>
        <v>Owes €258.38</v>
      </c>
    </row>
    <row r="11" spans="1:5" x14ac:dyDescent="0.2">
      <c r="A11" s="21" t="str">
        <f>Guests!B11</f>
        <v>Selin</v>
      </c>
      <c r="B11" s="22">
        <f>SUMPRODUCT((Expenses!D4:D33=Guests!B11)*Expenses!E4:E33)</f>
        <v>0</v>
      </c>
      <c r="C11" s="22">
        <f>SUMPRODUCT((Expenses!M4:M33=1)*Expenses!R4:R33)</f>
        <v>362.72</v>
      </c>
      <c r="D11" s="23">
        <f t="shared" si="0"/>
        <v>-362.72</v>
      </c>
      <c r="E11" s="5" t="str">
        <f t="shared" si="1"/>
        <v>Owes €362.72</v>
      </c>
    </row>
    <row r="12" spans="1:5" x14ac:dyDescent="0.2">
      <c r="A12" s="21" t="str">
        <f>Guests!B12</f>
        <v>Pedram</v>
      </c>
      <c r="B12" s="22">
        <f>SUMPRODUCT((Expenses!D4:D33=Guests!B12)*Expenses!E4:E33)</f>
        <v>220</v>
      </c>
      <c r="C12" s="22">
        <f>SUMPRODUCT((Expenses!N4:N33=1)*Expenses!R4:R33)</f>
        <v>543.84500000000003</v>
      </c>
      <c r="D12" s="23">
        <f t="shared" si="0"/>
        <v>-323.84500000000003</v>
      </c>
      <c r="E12" s="5" t="str">
        <f t="shared" si="1"/>
        <v>Owes €323.85</v>
      </c>
    </row>
    <row r="13" spans="1:5" x14ac:dyDescent="0.2">
      <c r="A13" s="21" t="str">
        <f>Guests!B13</f>
        <v>Tyler</v>
      </c>
      <c r="B13" s="22">
        <f>SUMPRODUCT((Expenses!D4:D33=Guests!B13)*Expenses!E4:E33)</f>
        <v>0</v>
      </c>
      <c r="C13" s="22">
        <f>SUMPRODUCT((Expenses!O4:O33=1)*Expenses!R4:R33)</f>
        <v>362.72</v>
      </c>
      <c r="D13" s="23">
        <f t="shared" si="0"/>
        <v>-362.72</v>
      </c>
      <c r="E13" s="5" t="str">
        <f t="shared" si="1"/>
        <v>Owes €362.72</v>
      </c>
    </row>
    <row r="14" spans="1:5" x14ac:dyDescent="0.2">
      <c r="A14" s="21" t="str">
        <f>Guests!B14</f>
        <v xml:space="preserve">Emmi </v>
      </c>
      <c r="B14" s="22">
        <f>SUMPRODUCT((Expenses!D4:D33=Guests!B14)*Expenses!E4:E33)</f>
        <v>0</v>
      </c>
      <c r="C14" s="22">
        <f>SUMPRODUCT((Expenses!P4:P33=1)*Expenses!R4:R33)</f>
        <v>591.34500000000003</v>
      </c>
      <c r="D14" s="23">
        <f t="shared" si="0"/>
        <v>-591.34500000000003</v>
      </c>
      <c r="E14" s="5" t="str">
        <f t="shared" si="1"/>
        <v>Owes €591.35</v>
      </c>
    </row>
    <row r="15" spans="1:5" ht="15.75" customHeight="1" x14ac:dyDescent="0.2">
      <c r="A15" s="24" t="s">
        <v>70</v>
      </c>
      <c r="B15" s="25">
        <f>SUM(B4:B14)</f>
        <v>4132.38</v>
      </c>
      <c r="C15" s="25">
        <f>SUM(C4:C14)</f>
        <v>4230.380000000001</v>
      </c>
    </row>
    <row r="17" spans="1:4" ht="18" x14ac:dyDescent="0.2">
      <c r="A17" s="2" t="s">
        <v>71</v>
      </c>
      <c r="B17" s="2"/>
      <c r="C17" s="2"/>
      <c r="D17" s="2"/>
    </row>
    <row r="18" spans="1:4" ht="18" customHeight="1" x14ac:dyDescent="0.2">
      <c r="A18" s="26" t="s">
        <v>72</v>
      </c>
    </row>
    <row r="20" spans="1:4" x14ac:dyDescent="0.2">
      <c r="A20" s="27" t="s">
        <v>73</v>
      </c>
      <c r="B20" s="27" t="s">
        <v>74</v>
      </c>
      <c r="C20" s="27" t="s">
        <v>75</v>
      </c>
      <c r="D20" s="27" t="s">
        <v>76</v>
      </c>
    </row>
    <row r="21" spans="1:4" x14ac:dyDescent="0.2">
      <c r="A21" s="28" t="s">
        <v>77</v>
      </c>
      <c r="B21" s="29" t="s">
        <v>74</v>
      </c>
      <c r="C21" s="30" t="s">
        <v>4</v>
      </c>
      <c r="D21" s="31">
        <v>591.35</v>
      </c>
    </row>
    <row r="22" spans="1:4" x14ac:dyDescent="0.2">
      <c r="A22" s="28" t="s">
        <v>5</v>
      </c>
      <c r="B22" s="29" t="s">
        <v>74</v>
      </c>
      <c r="C22" s="30" t="s">
        <v>4</v>
      </c>
      <c r="D22" s="31">
        <v>588.57000000000005</v>
      </c>
    </row>
    <row r="23" spans="1:4" x14ac:dyDescent="0.2">
      <c r="A23" s="28" t="s">
        <v>12</v>
      </c>
      <c r="B23" s="29" t="s">
        <v>74</v>
      </c>
      <c r="C23" s="30" t="s">
        <v>4</v>
      </c>
      <c r="D23" s="31">
        <v>449.35</v>
      </c>
    </row>
    <row r="24" spans="1:4" x14ac:dyDescent="0.2">
      <c r="A24" s="28" t="s">
        <v>11</v>
      </c>
      <c r="B24" s="29" t="s">
        <v>74</v>
      </c>
      <c r="C24" s="30" t="s">
        <v>4</v>
      </c>
      <c r="D24" s="31">
        <v>333.35</v>
      </c>
    </row>
    <row r="25" spans="1:4" x14ac:dyDescent="0.2">
      <c r="A25" s="28" t="s">
        <v>13</v>
      </c>
      <c r="B25" s="29" t="s">
        <v>74</v>
      </c>
      <c r="C25" s="30" t="s">
        <v>4</v>
      </c>
      <c r="D25" s="31">
        <v>333.35</v>
      </c>
    </row>
    <row r="26" spans="1:4" x14ac:dyDescent="0.2">
      <c r="A26" s="28" t="s">
        <v>6</v>
      </c>
      <c r="B26" s="29" t="s">
        <v>74</v>
      </c>
      <c r="C26" s="30" t="s">
        <v>4</v>
      </c>
      <c r="D26" s="31">
        <v>327.52</v>
      </c>
    </row>
    <row r="27" spans="1:4" x14ac:dyDescent="0.2">
      <c r="A27" s="28" t="s">
        <v>10</v>
      </c>
      <c r="B27" s="29" t="s">
        <v>74</v>
      </c>
      <c r="C27" s="30" t="s">
        <v>4</v>
      </c>
      <c r="D27" s="31">
        <v>229</v>
      </c>
    </row>
    <row r="28" spans="1:4" x14ac:dyDescent="0.2">
      <c r="A28" s="28" t="s">
        <v>8</v>
      </c>
      <c r="B28" s="32" t="s">
        <v>74</v>
      </c>
      <c r="C28" s="30" t="s">
        <v>4</v>
      </c>
      <c r="D28" s="31">
        <v>167.07</v>
      </c>
    </row>
    <row r="29" spans="1:4" x14ac:dyDescent="0.2">
      <c r="A29" s="28" t="s">
        <v>9</v>
      </c>
      <c r="B29" s="32" t="s">
        <v>74</v>
      </c>
      <c r="C29" s="30" t="s">
        <v>4</v>
      </c>
      <c r="D29" s="31">
        <v>167.07</v>
      </c>
    </row>
    <row r="30" spans="1:4" x14ac:dyDescent="0.2">
      <c r="A30" s="28" t="s">
        <v>7</v>
      </c>
      <c r="B30" s="32" t="s">
        <v>74</v>
      </c>
      <c r="C30" s="30" t="s">
        <v>4</v>
      </c>
      <c r="D30" s="31">
        <v>152</v>
      </c>
    </row>
    <row r="31" spans="1:4" x14ac:dyDescent="0.2">
      <c r="A31" s="28" t="s">
        <v>8</v>
      </c>
      <c r="B31" s="32" t="s">
        <v>74</v>
      </c>
      <c r="C31" s="30" t="s">
        <v>12</v>
      </c>
      <c r="D31" s="31">
        <v>44</v>
      </c>
    </row>
    <row r="32" spans="1:4" x14ac:dyDescent="0.2">
      <c r="A32" s="28" t="s">
        <v>9</v>
      </c>
      <c r="B32" s="32" t="s">
        <v>74</v>
      </c>
      <c r="C32" s="30" t="s">
        <v>12</v>
      </c>
      <c r="D32" s="31">
        <v>44</v>
      </c>
    </row>
    <row r="33" spans="1:4" x14ac:dyDescent="0.2">
      <c r="A33" s="28" t="s">
        <v>5</v>
      </c>
      <c r="B33" s="32" t="s">
        <v>74</v>
      </c>
      <c r="C33" s="30" t="s">
        <v>12</v>
      </c>
      <c r="D33" s="31">
        <v>37.5</v>
      </c>
    </row>
    <row r="34" spans="1:4" x14ac:dyDescent="0.2">
      <c r="A34" s="28" t="s">
        <v>8</v>
      </c>
      <c r="B34" s="32" t="s">
        <v>74</v>
      </c>
      <c r="C34" s="30" t="s">
        <v>6</v>
      </c>
      <c r="D34" s="31">
        <v>22.88</v>
      </c>
    </row>
    <row r="35" spans="1:4" x14ac:dyDescent="0.2">
      <c r="A35" s="28" t="s">
        <v>9</v>
      </c>
      <c r="B35" s="32" t="s">
        <v>74</v>
      </c>
      <c r="C35" s="30" t="s">
        <v>6</v>
      </c>
      <c r="D35" s="31">
        <v>22.88</v>
      </c>
    </row>
    <row r="36" spans="1:4" x14ac:dyDescent="0.2">
      <c r="A36" s="28" t="s">
        <v>10</v>
      </c>
      <c r="B36" s="32" t="s">
        <v>74</v>
      </c>
      <c r="C36" s="30" t="s">
        <v>6</v>
      </c>
      <c r="D36" s="31">
        <v>22.88</v>
      </c>
    </row>
    <row r="37" spans="1:4" x14ac:dyDescent="0.2">
      <c r="A37" s="28" t="s">
        <v>11</v>
      </c>
      <c r="B37" s="32" t="s">
        <v>74</v>
      </c>
      <c r="C37" s="30" t="s">
        <v>6</v>
      </c>
      <c r="D37" s="31">
        <v>22.88</v>
      </c>
    </row>
    <row r="38" spans="1:4" x14ac:dyDescent="0.2">
      <c r="A38" s="28" t="s">
        <v>13</v>
      </c>
      <c r="B38" s="32" t="s">
        <v>74</v>
      </c>
      <c r="C38" s="30" t="s">
        <v>6</v>
      </c>
      <c r="D38" s="31">
        <v>22.88</v>
      </c>
    </row>
    <row r="39" spans="1:4" x14ac:dyDescent="0.2">
      <c r="A39" s="28" t="s">
        <v>5</v>
      </c>
      <c r="B39" s="32" t="s">
        <v>74</v>
      </c>
      <c r="C39" s="30" t="s">
        <v>6</v>
      </c>
      <c r="D39" s="31">
        <v>16.38</v>
      </c>
    </row>
    <row r="40" spans="1:4" x14ac:dyDescent="0.2">
      <c r="A40" s="28" t="s">
        <v>8</v>
      </c>
      <c r="B40" s="32" t="s">
        <v>74</v>
      </c>
      <c r="C40" s="30" t="s">
        <v>5</v>
      </c>
      <c r="D40" s="31">
        <v>6.5</v>
      </c>
    </row>
    <row r="41" spans="1:4" x14ac:dyDescent="0.2">
      <c r="A41" s="28" t="s">
        <v>9</v>
      </c>
      <c r="B41" s="32" t="s">
        <v>74</v>
      </c>
      <c r="C41" s="30" t="s">
        <v>5</v>
      </c>
      <c r="D41" s="31">
        <v>6.5</v>
      </c>
    </row>
    <row r="42" spans="1:4" x14ac:dyDescent="0.2">
      <c r="A42" s="28" t="s">
        <v>10</v>
      </c>
      <c r="B42" s="32" t="s">
        <v>74</v>
      </c>
      <c r="C42" s="30" t="s">
        <v>5</v>
      </c>
      <c r="D42" s="31">
        <v>6.5</v>
      </c>
    </row>
    <row r="43" spans="1:4" x14ac:dyDescent="0.2">
      <c r="A43" s="28" t="s">
        <v>11</v>
      </c>
      <c r="B43" s="32" t="s">
        <v>74</v>
      </c>
      <c r="C43" s="30" t="s">
        <v>5</v>
      </c>
      <c r="D43" s="31">
        <v>6.5</v>
      </c>
    </row>
    <row r="44" spans="1:4" x14ac:dyDescent="0.2">
      <c r="A44" s="28" t="s">
        <v>13</v>
      </c>
      <c r="B44" s="32" t="s">
        <v>74</v>
      </c>
      <c r="C44" s="30" t="s">
        <v>5</v>
      </c>
      <c r="D44" s="31">
        <v>6.5</v>
      </c>
    </row>
    <row r="45" spans="1:4" x14ac:dyDescent="0.2">
      <c r="A45" s="28" t="s">
        <v>7</v>
      </c>
      <c r="B45" s="32" t="s">
        <v>74</v>
      </c>
      <c r="C45" s="30" t="s">
        <v>5</v>
      </c>
      <c r="D45" s="31">
        <v>6.5</v>
      </c>
    </row>
    <row r="48" spans="1:4" ht="18" x14ac:dyDescent="0.2">
      <c r="A48" s="1" t="s">
        <v>78</v>
      </c>
      <c r="B48" s="1"/>
      <c r="C48" s="1"/>
      <c r="D48" s="1"/>
    </row>
    <row r="50" spans="1:4" x14ac:dyDescent="0.2">
      <c r="A50" s="33" t="s">
        <v>79</v>
      </c>
      <c r="B50" s="33" t="s">
        <v>80</v>
      </c>
      <c r="C50" s="33" t="s">
        <v>81</v>
      </c>
      <c r="D50" s="33" t="s">
        <v>82</v>
      </c>
    </row>
    <row r="51" spans="1:4" x14ac:dyDescent="0.2">
      <c r="A51" s="28" t="s">
        <v>4</v>
      </c>
      <c r="B51" s="34" t="s">
        <v>83</v>
      </c>
      <c r="C51" s="35" t="s">
        <v>84</v>
      </c>
      <c r="D51" s="36">
        <v>3377.63</v>
      </c>
    </row>
    <row r="52" spans="1:4" x14ac:dyDescent="0.2">
      <c r="A52" s="28" t="s">
        <v>5</v>
      </c>
      <c r="B52" s="32" t="s">
        <v>85</v>
      </c>
      <c r="C52" s="30" t="s">
        <v>4</v>
      </c>
      <c r="D52" s="31">
        <v>588.57000000000005</v>
      </c>
    </row>
    <row r="53" spans="1:4" x14ac:dyDescent="0.2">
      <c r="A53" s="28" t="s">
        <v>5</v>
      </c>
      <c r="B53" s="32" t="s">
        <v>85</v>
      </c>
      <c r="C53" s="30" t="s">
        <v>12</v>
      </c>
      <c r="D53" s="31">
        <v>37.5</v>
      </c>
    </row>
    <row r="54" spans="1:4" x14ac:dyDescent="0.2">
      <c r="A54" s="28" t="s">
        <v>5</v>
      </c>
      <c r="B54" s="32" t="s">
        <v>85</v>
      </c>
      <c r="C54" s="30" t="s">
        <v>6</v>
      </c>
      <c r="D54" s="31">
        <v>16.38</v>
      </c>
    </row>
    <row r="55" spans="1:4" x14ac:dyDescent="0.2">
      <c r="A55" s="28" t="s">
        <v>6</v>
      </c>
      <c r="B55" s="32" t="s">
        <v>85</v>
      </c>
      <c r="C55" s="30" t="s">
        <v>4</v>
      </c>
      <c r="D55" s="31">
        <v>327.52</v>
      </c>
    </row>
    <row r="56" spans="1:4" x14ac:dyDescent="0.2">
      <c r="A56" s="28" t="s">
        <v>7</v>
      </c>
      <c r="B56" s="32" t="s">
        <v>85</v>
      </c>
      <c r="C56" s="30" t="s">
        <v>4</v>
      </c>
      <c r="D56" s="31">
        <v>152</v>
      </c>
    </row>
    <row r="57" spans="1:4" x14ac:dyDescent="0.2">
      <c r="A57" s="28" t="s">
        <v>7</v>
      </c>
      <c r="B57" s="32" t="s">
        <v>85</v>
      </c>
      <c r="C57" s="30" t="s">
        <v>5</v>
      </c>
      <c r="D57" s="31">
        <v>6.5</v>
      </c>
    </row>
    <row r="58" spans="1:4" x14ac:dyDescent="0.2">
      <c r="A58" s="28" t="s">
        <v>8</v>
      </c>
      <c r="B58" s="32" t="s">
        <v>85</v>
      </c>
      <c r="C58" s="30" t="s">
        <v>4</v>
      </c>
      <c r="D58" s="31">
        <v>167.07</v>
      </c>
    </row>
    <row r="59" spans="1:4" x14ac:dyDescent="0.2">
      <c r="A59" s="28" t="s">
        <v>8</v>
      </c>
      <c r="B59" s="32" t="s">
        <v>85</v>
      </c>
      <c r="C59" s="30" t="s">
        <v>12</v>
      </c>
      <c r="D59" s="31">
        <v>44</v>
      </c>
    </row>
    <row r="60" spans="1:4" x14ac:dyDescent="0.2">
      <c r="A60" s="28" t="s">
        <v>8</v>
      </c>
      <c r="B60" s="32" t="s">
        <v>85</v>
      </c>
      <c r="C60" s="30" t="s">
        <v>6</v>
      </c>
      <c r="D60" s="31">
        <v>22.88</v>
      </c>
    </row>
    <row r="61" spans="1:4" x14ac:dyDescent="0.2">
      <c r="A61" s="28" t="s">
        <v>8</v>
      </c>
      <c r="B61" s="32" t="s">
        <v>85</v>
      </c>
      <c r="C61" s="30" t="s">
        <v>5</v>
      </c>
      <c r="D61" s="31">
        <v>6.5</v>
      </c>
    </row>
    <row r="62" spans="1:4" x14ac:dyDescent="0.2">
      <c r="A62" s="28" t="s">
        <v>9</v>
      </c>
      <c r="B62" s="32" t="s">
        <v>85</v>
      </c>
      <c r="C62" s="30" t="s">
        <v>4</v>
      </c>
      <c r="D62" s="31">
        <v>167.07</v>
      </c>
    </row>
    <row r="63" spans="1:4" x14ac:dyDescent="0.2">
      <c r="A63" s="28" t="s">
        <v>9</v>
      </c>
      <c r="B63" s="32" t="s">
        <v>85</v>
      </c>
      <c r="C63" s="30" t="s">
        <v>12</v>
      </c>
      <c r="D63" s="31">
        <v>44</v>
      </c>
    </row>
    <row r="64" spans="1:4" x14ac:dyDescent="0.2">
      <c r="A64" s="28" t="s">
        <v>9</v>
      </c>
      <c r="B64" s="32" t="s">
        <v>85</v>
      </c>
      <c r="C64" s="30" t="s">
        <v>6</v>
      </c>
      <c r="D64" s="31">
        <v>22.88</v>
      </c>
    </row>
    <row r="65" spans="1:4" x14ac:dyDescent="0.2">
      <c r="A65" s="28" t="s">
        <v>9</v>
      </c>
      <c r="B65" s="32" t="s">
        <v>85</v>
      </c>
      <c r="C65" s="30" t="s">
        <v>5</v>
      </c>
      <c r="D65" s="31">
        <v>6.5</v>
      </c>
    </row>
    <row r="66" spans="1:4" x14ac:dyDescent="0.2">
      <c r="A66" s="28" t="s">
        <v>10</v>
      </c>
      <c r="B66" s="32" t="s">
        <v>85</v>
      </c>
      <c r="C66" s="30" t="s">
        <v>4</v>
      </c>
      <c r="D66" s="31">
        <v>229</v>
      </c>
    </row>
    <row r="67" spans="1:4" x14ac:dyDescent="0.2">
      <c r="A67" s="28" t="s">
        <v>10</v>
      </c>
      <c r="B67" s="32" t="s">
        <v>85</v>
      </c>
      <c r="C67" s="30" t="s">
        <v>6</v>
      </c>
      <c r="D67" s="31">
        <v>22.88</v>
      </c>
    </row>
    <row r="68" spans="1:4" x14ac:dyDescent="0.2">
      <c r="A68" s="28" t="s">
        <v>10</v>
      </c>
      <c r="B68" s="32" t="s">
        <v>85</v>
      </c>
      <c r="C68" s="30" t="s">
        <v>5</v>
      </c>
      <c r="D68" s="31">
        <v>6.5</v>
      </c>
    </row>
    <row r="69" spans="1:4" x14ac:dyDescent="0.2">
      <c r="A69" s="28" t="s">
        <v>11</v>
      </c>
      <c r="B69" s="32" t="s">
        <v>85</v>
      </c>
      <c r="C69" s="30" t="s">
        <v>4</v>
      </c>
      <c r="D69" s="31">
        <v>333.35</v>
      </c>
    </row>
    <row r="70" spans="1:4" x14ac:dyDescent="0.2">
      <c r="A70" s="28" t="s">
        <v>11</v>
      </c>
      <c r="B70" s="32" t="s">
        <v>85</v>
      </c>
      <c r="C70" s="30" t="s">
        <v>6</v>
      </c>
      <c r="D70" s="31">
        <v>22.88</v>
      </c>
    </row>
    <row r="71" spans="1:4" x14ac:dyDescent="0.2">
      <c r="A71" s="28" t="s">
        <v>11</v>
      </c>
      <c r="B71" s="32" t="s">
        <v>85</v>
      </c>
      <c r="C71" s="30" t="s">
        <v>5</v>
      </c>
      <c r="D71" s="31">
        <v>6.5</v>
      </c>
    </row>
    <row r="72" spans="1:4" x14ac:dyDescent="0.2">
      <c r="A72" s="28" t="s">
        <v>12</v>
      </c>
      <c r="B72" s="32" t="s">
        <v>85</v>
      </c>
      <c r="C72" s="30" t="s">
        <v>4</v>
      </c>
      <c r="D72" s="31">
        <v>449.35</v>
      </c>
    </row>
    <row r="73" spans="1:4" x14ac:dyDescent="0.2">
      <c r="A73" s="28" t="s">
        <v>13</v>
      </c>
      <c r="B73" s="32" t="s">
        <v>85</v>
      </c>
      <c r="C73" s="30" t="s">
        <v>4</v>
      </c>
      <c r="D73" s="31">
        <v>333.35</v>
      </c>
    </row>
    <row r="74" spans="1:4" x14ac:dyDescent="0.2">
      <c r="A74" s="28" t="s">
        <v>13</v>
      </c>
      <c r="B74" s="32" t="s">
        <v>85</v>
      </c>
      <c r="C74" s="30" t="s">
        <v>6</v>
      </c>
      <c r="D74" s="31">
        <v>22.88</v>
      </c>
    </row>
    <row r="75" spans="1:4" x14ac:dyDescent="0.2">
      <c r="A75" s="28" t="s">
        <v>13</v>
      </c>
      <c r="B75" s="32" t="s">
        <v>85</v>
      </c>
      <c r="C75" s="30" t="s">
        <v>5</v>
      </c>
      <c r="D75" s="31">
        <v>6.5</v>
      </c>
    </row>
    <row r="76" spans="1:4" x14ac:dyDescent="0.2">
      <c r="A76" s="28" t="s">
        <v>77</v>
      </c>
      <c r="B76" s="32" t="s">
        <v>85</v>
      </c>
      <c r="C76" s="30" t="s">
        <v>4</v>
      </c>
      <c r="D76" s="31">
        <v>630.35</v>
      </c>
    </row>
  </sheetData>
  <mergeCells count="2">
    <mergeCell ref="A17:D17"/>
    <mergeCell ref="A48:D4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Guests</vt:lpstr>
      <vt:lpstr>Expenses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Laura Aguilar</cp:lastModifiedBy>
  <cp:revision>0</cp:revision>
  <dcterms:created xsi:type="dcterms:W3CDTF">2026-05-06T15:29:44Z</dcterms:created>
  <dcterms:modified xsi:type="dcterms:W3CDTF">2026-05-07T10:33:23Z</dcterms:modified>
  <dc:language>en-US</dc:language>
</cp:coreProperties>
</file>